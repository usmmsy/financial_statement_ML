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mmsy\Dropbox\resume\JPMC\Intern_Interview_2026_Qs\Q1\balance_sheet_forecaster\data\retail_csv\WMT_quarterly\"/>
    </mc:Choice>
  </mc:AlternateContent>
  <xr:revisionPtr revIDLastSave="0" documentId="13_ncr:1_{FFFF77DA-6293-482D-A744-30496D909BA2}" xr6:coauthVersionLast="47" xr6:coauthVersionMax="47" xr10:uidLastSave="{00000000-0000-0000-0000-000000000000}"/>
  <bookViews>
    <workbookView xWindow="-120" yWindow="-120" windowWidth="29040" windowHeight="15720" xr2:uid="{C60BC50B-6029-BD48-9784-E347169BF520}"/>
  </bookViews>
  <sheets>
    <sheet name="Walmart_BS___bucketed_lines__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  <c r="C67" i="1"/>
  <c r="C65" i="1"/>
</calcChain>
</file>

<file path=xl/sharedStrings.xml><?xml version="1.0" encoding="utf-8"?>
<sst xmlns="http://schemas.openxmlformats.org/spreadsheetml/2006/main" count="130" uniqueCount="74">
  <si>
    <t>line_item</t>
  </si>
  <si>
    <t>value</t>
  </si>
  <si>
    <t>bucket_guess</t>
  </si>
  <si>
    <t>Accounts Receivable</t>
  </si>
  <si>
    <t>Asset</t>
  </si>
  <si>
    <t>Cash And Cash Equivalents</t>
  </si>
  <si>
    <t>Cash Cash Equivalents And Short Term Investments</t>
  </si>
  <si>
    <t>Goodwill</t>
  </si>
  <si>
    <t>Goodwill And Other Intangible Assets</t>
  </si>
  <si>
    <t>Inventory</t>
  </si>
  <si>
    <t>Net PPE</t>
  </si>
  <si>
    <t>Other Current Assets</t>
  </si>
  <si>
    <t>Other Non Current Assets</t>
  </si>
  <si>
    <t>Additional Paid In Capital</t>
  </si>
  <si>
    <t>Equity</t>
  </si>
  <si>
    <t>Capital Stock</t>
  </si>
  <si>
    <t>Common Stock</t>
  </si>
  <si>
    <t>Common Stock Equity</t>
  </si>
  <si>
    <t>Gains Losses Not Affecting Retained Earnings</t>
  </si>
  <si>
    <t>Minority Interest</t>
  </si>
  <si>
    <t>Retained Earnings</t>
  </si>
  <si>
    <t>Total Equity Gross Minority Interest</t>
  </si>
  <si>
    <t>Total Liabilities Net Minority Interest</t>
  </si>
  <si>
    <t>Accounts Payable</t>
  </si>
  <si>
    <t>Liability</t>
  </si>
  <si>
    <t>Current Accrued Expenses</t>
  </si>
  <si>
    <t>Current Capital Lease Obligation</t>
  </si>
  <si>
    <t>Current Debt</t>
  </si>
  <si>
    <t>Current Debt And Capital Lease Obligation</t>
  </si>
  <si>
    <t>Current Deferred Liabilities</t>
  </si>
  <si>
    <t>Current Deferred Revenue</t>
  </si>
  <si>
    <t>Dividends Payable</t>
  </si>
  <si>
    <t>Income Tax Payable</t>
  </si>
  <si>
    <t>Long Term Capital Lease Obligation</t>
  </si>
  <si>
    <t>Long Term Debt</t>
  </si>
  <si>
    <t>Long Term Debt And Capital Lease Obligation</t>
  </si>
  <si>
    <t>Other Non Current Liabilities</t>
  </si>
  <si>
    <t>Payables And Accrued Expenses</t>
  </si>
  <si>
    <t>Total Non Current Liabilities Net Minority Interest</t>
  </si>
  <si>
    <t>Total Tax Payable</t>
  </si>
  <si>
    <t>Total Assets</t>
  </si>
  <si>
    <t>TotalAssets</t>
  </si>
  <si>
    <t>Accumulated Depreciation</t>
  </si>
  <si>
    <t>Buildings And Improvements</t>
  </si>
  <si>
    <t>Capital Lease Obligations</t>
  </si>
  <si>
    <t>Construction In Progress</t>
  </si>
  <si>
    <t>Current Assets</t>
  </si>
  <si>
    <t>Current Liabilities</t>
  </si>
  <si>
    <t>Foreign Currency Translation Adjustments</t>
  </si>
  <si>
    <t>Gross PPE</t>
  </si>
  <si>
    <t>Invested Capital</t>
  </si>
  <si>
    <t>Land And Improvements</t>
  </si>
  <si>
    <t>Machinery Furniture Equipment</t>
  </si>
  <si>
    <t>Net Debt</t>
  </si>
  <si>
    <t>Net Tangible Assets</t>
  </si>
  <si>
    <t>Ordinary Shares Number</t>
  </si>
  <si>
    <t>Other Current Borrowings</t>
  </si>
  <si>
    <t>Other Equity Adjustments</t>
  </si>
  <si>
    <t>Other Properties</t>
  </si>
  <si>
    <t>Payables</t>
  </si>
  <si>
    <t>Properties</t>
  </si>
  <si>
    <t>Receivables</t>
  </si>
  <si>
    <t>Share Issued</t>
  </si>
  <si>
    <t>Stockholders Equity</t>
  </si>
  <si>
    <t>Tangible Book Value</t>
  </si>
  <si>
    <t>Total Capitalization</t>
  </si>
  <si>
    <t>Total Debt</t>
  </si>
  <si>
    <t>Total Non Current Assets</t>
  </si>
  <si>
    <t>Working Capital</t>
  </si>
  <si>
    <t>Classified Assets Total:</t>
  </si>
  <si>
    <t>Classified Equity Total</t>
  </si>
  <si>
    <t>Classified Liability Total</t>
  </si>
  <si>
    <t>Calculation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</si>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</sst>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E8A6-5FEE-9441-A761-DDC1C33E466D}">
  <dimension ref="A1:D67"/>
  <sheetViews>
    <sheetView tabSelected="1" topLeftCell="A30" zoomScale="70" zoomScaleNormal="70" workbookViewId="0">
      <selection activeCell="E62" sqref="E62"/>
    </sheetView>
  </sheetViews>
  <sheetFormatPr defaultColWidth="11" defaultRowHeight="15.75" x14ac:dyDescent="0.25"/>
  <cols>
    <col min="1" max="1" width="4.75" customWidth="1"/>
    <col min="2" max="2" width="59.5" customWidth="1"/>
    <col min="3" max="3" width="18.5" customWidth="1"/>
    <col min="4" max="4" width="19.375" customWidth="1"/>
  </cols>
  <sheetData>
    <row r="1" spans="1:4" ht="21" x14ac:dyDescent="0.35">
      <c r="A1" s="1"/>
      <c r="B1" s="1" t="s">
        <v>0</v>
      </c>
      <c r="C1" s="1" t="s">
        <v>1</v>
      </c>
      <c r="D1" s="1" t="s">
        <v>2</v>
      </c>
    </row>
    <row r="2" spans="1:4" ht="21" x14ac:dyDescent="0.35">
      <c r="A2" s="1">
        <v>59</v>
      </c>
      <c r="B2" s="1" t="s">
        <v>3</v>
      </c>
      <c r="C2" s="1">
        <v>10518000000</v>
      </c>
      <c r="D2" s="1" t="s">
        <v>4</v>
      </c>
    </row>
    <row r="3" spans="1:4" ht="21" x14ac:dyDescent="0.35">
      <c r="A3" s="1">
        <v>61</v>
      </c>
      <c r="B3" s="1" t="s">
        <v>5</v>
      </c>
      <c r="C3" s="1">
        <v>9431000000</v>
      </c>
      <c r="D3" s="1" t="s">
        <v>4</v>
      </c>
    </row>
    <row r="4" spans="1:4" ht="21" x14ac:dyDescent="0.35">
      <c r="A4" s="1">
        <v>60</v>
      </c>
      <c r="B4" s="1" t="s">
        <v>6</v>
      </c>
      <c r="C4" s="1">
        <v>9431000000</v>
      </c>
      <c r="D4" s="1" t="s">
        <v>4</v>
      </c>
    </row>
    <row r="5" spans="1:4" ht="21" x14ac:dyDescent="0.35">
      <c r="A5" s="1">
        <v>45</v>
      </c>
      <c r="B5" s="1" t="s">
        <v>7</v>
      </c>
      <c r="C5" s="1">
        <v>29060000000</v>
      </c>
      <c r="D5" s="1" t="s">
        <v>4</v>
      </c>
    </row>
    <row r="6" spans="1:4" ht="21" x14ac:dyDescent="0.35">
      <c r="A6" s="1">
        <v>44</v>
      </c>
      <c r="B6" s="1" t="s">
        <v>8</v>
      </c>
      <c r="C6" s="1">
        <v>29060000000</v>
      </c>
      <c r="D6" s="1" t="s">
        <v>4</v>
      </c>
    </row>
    <row r="7" spans="1:4" ht="21" x14ac:dyDescent="0.35">
      <c r="A7" s="1">
        <v>57</v>
      </c>
      <c r="B7" s="1" t="s">
        <v>9</v>
      </c>
      <c r="C7" s="1">
        <v>57729000000</v>
      </c>
      <c r="D7" s="1" t="s">
        <v>4</v>
      </c>
    </row>
    <row r="8" spans="1:4" ht="21" x14ac:dyDescent="0.35">
      <c r="A8" s="1">
        <v>48</v>
      </c>
      <c r="B8" s="1" t="s">
        <v>49</v>
      </c>
      <c r="C8" s="1">
        <v>145557000000</v>
      </c>
      <c r="D8" s="1" t="s">
        <v>4</v>
      </c>
    </row>
    <row r="9" spans="1:4" ht="21" x14ac:dyDescent="0.35">
      <c r="A9" s="1">
        <v>46</v>
      </c>
      <c r="B9" s="1" t="s">
        <v>10</v>
      </c>
      <c r="C9" s="1">
        <v>145557000000</v>
      </c>
      <c r="D9" s="1" t="s">
        <v>4</v>
      </c>
    </row>
    <row r="10" spans="1:4" ht="21" x14ac:dyDescent="0.35">
      <c r="A10" s="1">
        <v>56</v>
      </c>
      <c r="B10" s="1" t="s">
        <v>11</v>
      </c>
      <c r="C10" s="1">
        <v>4355000000</v>
      </c>
      <c r="D10" s="1" t="s">
        <v>4</v>
      </c>
    </row>
    <row r="11" spans="1:4" ht="21" x14ac:dyDescent="0.35">
      <c r="A11" s="1">
        <v>55</v>
      </c>
      <c r="B11" s="1" t="s">
        <v>46</v>
      </c>
      <c r="C11" s="1">
        <v>82033000000</v>
      </c>
      <c r="D11" s="1" t="s">
        <v>4</v>
      </c>
    </row>
    <row r="12" spans="1:4" ht="21" x14ac:dyDescent="0.35">
      <c r="A12" s="1">
        <v>47</v>
      </c>
      <c r="B12" s="1" t="s">
        <v>42</v>
      </c>
      <c r="C12" s="1"/>
      <c r="D12" s="1" t="s">
        <v>4</v>
      </c>
    </row>
    <row r="13" spans="1:4" ht="21" x14ac:dyDescent="0.35">
      <c r="A13" s="1">
        <v>52</v>
      </c>
      <c r="B13" s="1" t="s">
        <v>43</v>
      </c>
      <c r="C13" s="1"/>
      <c r="D13" s="1" t="s">
        <v>4</v>
      </c>
    </row>
    <row r="14" spans="1:4" ht="21" x14ac:dyDescent="0.35">
      <c r="A14" s="1">
        <v>49</v>
      </c>
      <c r="B14" s="1" t="s">
        <v>45</v>
      </c>
      <c r="C14" s="1"/>
      <c r="D14" s="1" t="s">
        <v>4</v>
      </c>
    </row>
    <row r="15" spans="1:4" ht="21" x14ac:dyDescent="0.35">
      <c r="A15" s="1">
        <v>53</v>
      </c>
      <c r="B15" s="1" t="s">
        <v>51</v>
      </c>
      <c r="C15" s="1"/>
      <c r="D15" s="1" t="s">
        <v>4</v>
      </c>
    </row>
    <row r="16" spans="1:4" ht="21" x14ac:dyDescent="0.35">
      <c r="A16" s="1">
        <v>51</v>
      </c>
      <c r="B16" s="1" t="s">
        <v>52</v>
      </c>
      <c r="C16" s="1"/>
      <c r="D16" s="1" t="s">
        <v>4</v>
      </c>
    </row>
    <row r="17" spans="1:4" ht="21" x14ac:dyDescent="0.35">
      <c r="A17" s="1">
        <v>54</v>
      </c>
      <c r="B17" s="1" t="s">
        <v>60</v>
      </c>
      <c r="C17" s="1"/>
      <c r="D17" s="1" t="s">
        <v>4</v>
      </c>
    </row>
    <row r="18" spans="1:4" ht="21" x14ac:dyDescent="0.35">
      <c r="A18" s="1">
        <v>58</v>
      </c>
      <c r="B18" s="1" t="s">
        <v>61</v>
      </c>
      <c r="C18" s="1">
        <v>10518000000</v>
      </c>
      <c r="D18" s="1" t="s">
        <v>4</v>
      </c>
    </row>
    <row r="19" spans="1:4" ht="21" x14ac:dyDescent="0.35">
      <c r="A19" s="1">
        <v>50</v>
      </c>
      <c r="B19" s="1" t="s">
        <v>58</v>
      </c>
      <c r="C19" s="1">
        <v>145557000000</v>
      </c>
      <c r="D19" s="1" t="s">
        <v>4</v>
      </c>
    </row>
    <row r="20" spans="1:4" ht="21" x14ac:dyDescent="0.35">
      <c r="A20" s="1">
        <v>42</v>
      </c>
      <c r="B20" s="1" t="s">
        <v>67</v>
      </c>
      <c r="C20" s="1">
        <v>188804000000</v>
      </c>
      <c r="D20" s="1" t="s">
        <v>4</v>
      </c>
    </row>
    <row r="21" spans="1:4" ht="21" x14ac:dyDescent="0.35">
      <c r="A21" s="1">
        <v>43</v>
      </c>
      <c r="B21" s="1" t="s">
        <v>12</v>
      </c>
      <c r="C21" s="1">
        <v>14187000000</v>
      </c>
      <c r="D21" s="1" t="s">
        <v>4</v>
      </c>
    </row>
    <row r="22" spans="1:4" ht="21" x14ac:dyDescent="0.35">
      <c r="A22" s="1">
        <v>41</v>
      </c>
      <c r="B22" s="1" t="s">
        <v>40</v>
      </c>
      <c r="C22" s="1">
        <v>270837000000</v>
      </c>
      <c r="D22" s="1" t="s">
        <v>41</v>
      </c>
    </row>
    <row r="23" spans="1:4" ht="21" x14ac:dyDescent="0.35">
      <c r="A23" s="1">
        <v>18</v>
      </c>
      <c r="B23" s="1" t="s">
        <v>13</v>
      </c>
      <c r="C23" s="1">
        <v>5718000000</v>
      </c>
      <c r="D23" s="1" t="s">
        <v>14</v>
      </c>
    </row>
    <row r="24" spans="1:4" ht="21" x14ac:dyDescent="0.35">
      <c r="A24" s="1">
        <v>19</v>
      </c>
      <c r="B24" s="1" t="s">
        <v>15</v>
      </c>
      <c r="C24" s="1">
        <v>797000000</v>
      </c>
      <c r="D24" s="1" t="s">
        <v>14</v>
      </c>
    </row>
    <row r="25" spans="1:4" ht="21" x14ac:dyDescent="0.35">
      <c r="A25" s="1">
        <v>20</v>
      </c>
      <c r="B25" s="1" t="s">
        <v>16</v>
      </c>
      <c r="C25" s="1">
        <v>797000000</v>
      </c>
      <c r="D25" s="1" t="s">
        <v>14</v>
      </c>
    </row>
    <row r="26" spans="1:4" ht="21" x14ac:dyDescent="0.35">
      <c r="A26" s="1">
        <v>9</v>
      </c>
      <c r="B26" s="1" t="s">
        <v>17</v>
      </c>
      <c r="C26" s="1">
        <v>90110000000</v>
      </c>
      <c r="D26" s="1" t="s">
        <v>14</v>
      </c>
    </row>
    <row r="27" spans="1:4" ht="21" x14ac:dyDescent="0.35">
      <c r="A27" s="1">
        <v>14</v>
      </c>
      <c r="B27" s="1" t="s">
        <v>18</v>
      </c>
      <c r="C27" s="1">
        <v>-12733000000</v>
      </c>
      <c r="D27" s="1" t="s">
        <v>14</v>
      </c>
    </row>
    <row r="28" spans="1:4" ht="21" x14ac:dyDescent="0.35">
      <c r="A28" s="1">
        <v>12</v>
      </c>
      <c r="B28" s="1" t="s">
        <v>19</v>
      </c>
      <c r="C28" s="1">
        <v>6747000000</v>
      </c>
      <c r="D28" s="1" t="s">
        <v>14</v>
      </c>
    </row>
    <row r="29" spans="1:4" ht="21" x14ac:dyDescent="0.35">
      <c r="A29" s="1">
        <v>17</v>
      </c>
      <c r="B29" s="1" t="s">
        <v>20</v>
      </c>
      <c r="C29" s="1">
        <v>96328000000</v>
      </c>
      <c r="D29" s="1" t="s">
        <v>14</v>
      </c>
    </row>
    <row r="30" spans="1:4" ht="21" x14ac:dyDescent="0.35">
      <c r="A30" s="1">
        <v>16</v>
      </c>
      <c r="B30" s="1" t="s">
        <v>48</v>
      </c>
      <c r="C30" s="1"/>
      <c r="D30" s="1" t="s">
        <v>14</v>
      </c>
    </row>
    <row r="31" spans="1:4" ht="21" x14ac:dyDescent="0.35">
      <c r="A31" s="1">
        <v>15</v>
      </c>
      <c r="B31" s="1" t="s">
        <v>57</v>
      </c>
      <c r="C31" s="1">
        <v>-12733000000</v>
      </c>
      <c r="D31" s="1" t="s">
        <v>14</v>
      </c>
    </row>
    <row r="32" spans="1:4" ht="21" x14ac:dyDescent="0.35">
      <c r="A32" s="1">
        <v>13</v>
      </c>
      <c r="B32" s="1" t="s">
        <v>63</v>
      </c>
      <c r="C32" s="1">
        <v>90110000000</v>
      </c>
      <c r="D32" s="1" t="s">
        <v>14</v>
      </c>
    </row>
    <row r="33" spans="1:4" ht="21" x14ac:dyDescent="0.35">
      <c r="A33" s="1">
        <v>11</v>
      </c>
      <c r="B33" s="1" t="s">
        <v>21</v>
      </c>
      <c r="C33" s="1">
        <v>96857000000</v>
      </c>
      <c r="D33" s="1" t="s">
        <v>14</v>
      </c>
    </row>
    <row r="34" spans="1:4" ht="21" x14ac:dyDescent="0.35">
      <c r="A34" s="1">
        <v>21</v>
      </c>
      <c r="B34" s="1" t="s">
        <v>22</v>
      </c>
      <c r="C34" s="1">
        <v>173980000000</v>
      </c>
      <c r="D34" s="1" t="s">
        <v>24</v>
      </c>
    </row>
    <row r="35" spans="1:4" ht="21" x14ac:dyDescent="0.35">
      <c r="A35" s="1">
        <v>40</v>
      </c>
      <c r="B35" s="1" t="s">
        <v>23</v>
      </c>
      <c r="C35" s="1">
        <v>60086000000</v>
      </c>
      <c r="D35" s="1" t="s">
        <v>24</v>
      </c>
    </row>
    <row r="36" spans="1:4" ht="21" x14ac:dyDescent="0.35">
      <c r="A36" s="1">
        <v>35</v>
      </c>
      <c r="B36" s="1" t="s">
        <v>25</v>
      </c>
      <c r="C36" s="1">
        <v>28821000000</v>
      </c>
      <c r="D36" s="1" t="s">
        <v>24</v>
      </c>
    </row>
    <row r="37" spans="1:4" ht="21" x14ac:dyDescent="0.35">
      <c r="A37" s="1">
        <v>31</v>
      </c>
      <c r="B37" s="1" t="s">
        <v>26</v>
      </c>
      <c r="C37" s="1">
        <v>2408000000</v>
      </c>
      <c r="D37" s="1" t="s">
        <v>24</v>
      </c>
    </row>
    <row r="38" spans="1:4" ht="21" x14ac:dyDescent="0.35">
      <c r="A38" s="1">
        <v>32</v>
      </c>
      <c r="B38" s="1" t="s">
        <v>27</v>
      </c>
      <c r="C38" s="1">
        <v>7848000000</v>
      </c>
      <c r="D38" s="1" t="s">
        <v>24</v>
      </c>
    </row>
    <row r="39" spans="1:4" ht="21" x14ac:dyDescent="0.35">
      <c r="A39" s="1">
        <v>30</v>
      </c>
      <c r="B39" s="1" t="s">
        <v>28</v>
      </c>
      <c r="C39" s="1">
        <v>10256000000</v>
      </c>
      <c r="D39" s="1" t="s">
        <v>24</v>
      </c>
    </row>
    <row r="40" spans="1:4" ht="21" x14ac:dyDescent="0.35">
      <c r="A40" s="1">
        <v>28</v>
      </c>
      <c r="B40" s="1" t="s">
        <v>29</v>
      </c>
      <c r="C40" s="1"/>
      <c r="D40" s="1" t="s">
        <v>24</v>
      </c>
    </row>
    <row r="41" spans="1:4" ht="21" x14ac:dyDescent="0.35">
      <c r="A41" s="1">
        <v>29</v>
      </c>
      <c r="B41" s="1" t="s">
        <v>30</v>
      </c>
      <c r="C41" s="1"/>
      <c r="D41" s="1" t="s">
        <v>24</v>
      </c>
    </row>
    <row r="42" spans="1:4" ht="21" x14ac:dyDescent="0.35">
      <c r="A42" s="1">
        <v>37</v>
      </c>
      <c r="B42" s="1" t="s">
        <v>31</v>
      </c>
      <c r="C42" s="1">
        <v>3783000000</v>
      </c>
      <c r="D42" s="1" t="s">
        <v>24</v>
      </c>
    </row>
    <row r="43" spans="1:4" ht="21" x14ac:dyDescent="0.35">
      <c r="A43" s="1">
        <v>8</v>
      </c>
      <c r="B43" s="1" t="s">
        <v>44</v>
      </c>
      <c r="C43" s="1">
        <v>21526000000</v>
      </c>
      <c r="D43" s="1" t="s">
        <v>24</v>
      </c>
    </row>
    <row r="44" spans="1:4" ht="21" x14ac:dyDescent="0.35">
      <c r="A44" s="1">
        <v>39</v>
      </c>
      <c r="B44" s="1" t="s">
        <v>32</v>
      </c>
      <c r="C44" s="1">
        <v>620000000</v>
      </c>
      <c r="D44" s="1" t="s">
        <v>24</v>
      </c>
    </row>
    <row r="45" spans="1:4" ht="21" x14ac:dyDescent="0.35">
      <c r="A45" s="1">
        <v>25</v>
      </c>
      <c r="B45" s="1" t="s">
        <v>33</v>
      </c>
      <c r="C45" s="1">
        <v>19118000000</v>
      </c>
      <c r="D45" s="1" t="s">
        <v>24</v>
      </c>
    </row>
    <row r="46" spans="1:4" ht="21" x14ac:dyDescent="0.35">
      <c r="A46" s="1">
        <v>26</v>
      </c>
      <c r="B46" s="1" t="s">
        <v>34</v>
      </c>
      <c r="C46" s="1">
        <v>35640000000</v>
      </c>
      <c r="D46" s="1" t="s">
        <v>24</v>
      </c>
    </row>
    <row r="47" spans="1:4" ht="21" x14ac:dyDescent="0.35">
      <c r="A47" s="1">
        <v>24</v>
      </c>
      <c r="B47" s="1" t="s">
        <v>35</v>
      </c>
      <c r="C47" s="1">
        <v>54758000000</v>
      </c>
      <c r="D47" s="1" t="s">
        <v>24</v>
      </c>
    </row>
    <row r="48" spans="1:4" ht="21" x14ac:dyDescent="0.35">
      <c r="A48" s="1">
        <v>27</v>
      </c>
      <c r="B48" s="1" t="s">
        <v>47</v>
      </c>
      <c r="C48" s="1">
        <v>103566000000</v>
      </c>
      <c r="D48" s="1" t="s">
        <v>24</v>
      </c>
    </row>
    <row r="49" spans="1:4" ht="21" x14ac:dyDescent="0.35">
      <c r="A49" s="1">
        <v>23</v>
      </c>
      <c r="B49" s="1" t="s">
        <v>36</v>
      </c>
      <c r="C49" s="1">
        <v>15656000000</v>
      </c>
      <c r="D49" s="1" t="s">
        <v>24</v>
      </c>
    </row>
    <row r="50" spans="1:4" ht="21" x14ac:dyDescent="0.35">
      <c r="A50" s="1">
        <v>34</v>
      </c>
      <c r="B50" s="1" t="s">
        <v>37</v>
      </c>
      <c r="C50" s="1">
        <v>93310000000</v>
      </c>
      <c r="D50" s="1" t="s">
        <v>24</v>
      </c>
    </row>
    <row r="51" spans="1:4" ht="21" x14ac:dyDescent="0.35">
      <c r="A51" s="1">
        <v>36</v>
      </c>
      <c r="B51" s="1" t="s">
        <v>59</v>
      </c>
      <c r="C51" s="1">
        <v>64489000000</v>
      </c>
      <c r="D51" s="1" t="s">
        <v>24</v>
      </c>
    </row>
    <row r="52" spans="1:4" ht="21" x14ac:dyDescent="0.35">
      <c r="A52" s="1">
        <v>33</v>
      </c>
      <c r="B52" s="1" t="s">
        <v>56</v>
      </c>
      <c r="C52" s="1">
        <v>7848000000</v>
      </c>
      <c r="D52" s="1" t="s">
        <v>24</v>
      </c>
    </row>
    <row r="53" spans="1:4" ht="21" x14ac:dyDescent="0.35">
      <c r="A53" s="1">
        <v>22</v>
      </c>
      <c r="B53" s="1" t="s">
        <v>38</v>
      </c>
      <c r="C53" s="1">
        <v>70414000000</v>
      </c>
      <c r="D53" s="1" t="s">
        <v>24</v>
      </c>
    </row>
    <row r="54" spans="1:4" ht="21" x14ac:dyDescent="0.35">
      <c r="A54" s="1">
        <v>3</v>
      </c>
      <c r="B54" s="1" t="s">
        <v>66</v>
      </c>
      <c r="C54" s="1">
        <v>65014000000</v>
      </c>
      <c r="D54" s="1" t="s">
        <v>24</v>
      </c>
    </row>
    <row r="55" spans="1:4" ht="21" x14ac:dyDescent="0.35">
      <c r="A55" s="1">
        <v>38</v>
      </c>
      <c r="B55" s="1" t="s">
        <v>39</v>
      </c>
      <c r="C55" s="1">
        <v>620000000</v>
      </c>
      <c r="D55" s="1" t="s">
        <v>24</v>
      </c>
    </row>
    <row r="56" spans="1:4" ht="21" x14ac:dyDescent="0.35">
      <c r="A56" s="1">
        <v>5</v>
      </c>
      <c r="B56" s="1" t="s">
        <v>50</v>
      </c>
      <c r="C56" s="1">
        <v>133598000000</v>
      </c>
      <c r="D56" s="1" t="s">
        <v>72</v>
      </c>
    </row>
    <row r="57" spans="1:4" ht="21" x14ac:dyDescent="0.35">
      <c r="A57" s="1">
        <v>2</v>
      </c>
      <c r="B57" s="1" t="s">
        <v>53</v>
      </c>
      <c r="C57" s="1">
        <v>34057000000</v>
      </c>
      <c r="D57" s="1" t="s">
        <v>72</v>
      </c>
    </row>
    <row r="58" spans="1:4" ht="21" x14ac:dyDescent="0.35">
      <c r="A58" s="1">
        <v>7</v>
      </c>
      <c r="B58" s="1" t="s">
        <v>54</v>
      </c>
      <c r="C58" s="1">
        <v>61050000000</v>
      </c>
      <c r="D58" s="1" t="s">
        <v>72</v>
      </c>
    </row>
    <row r="59" spans="1:4" ht="21" x14ac:dyDescent="0.35">
      <c r="A59" s="1">
        <v>4</v>
      </c>
      <c r="B59" s="1" t="s">
        <v>64</v>
      </c>
      <c r="C59" s="1">
        <v>61050000000</v>
      </c>
      <c r="D59" s="1" t="s">
        <v>72</v>
      </c>
    </row>
    <row r="60" spans="1:4" ht="21" x14ac:dyDescent="0.35">
      <c r="A60" s="1">
        <v>10</v>
      </c>
      <c r="B60" s="1" t="s">
        <v>65</v>
      </c>
      <c r="C60" s="1">
        <v>125750000000</v>
      </c>
      <c r="D60" s="1" t="s">
        <v>72</v>
      </c>
    </row>
    <row r="61" spans="1:4" ht="21" x14ac:dyDescent="0.35">
      <c r="A61" s="1">
        <v>6</v>
      </c>
      <c r="B61" s="1" t="s">
        <v>68</v>
      </c>
      <c r="C61" s="1">
        <v>-21533000000</v>
      </c>
      <c r="D61" s="1" t="s">
        <v>72</v>
      </c>
    </row>
    <row r="62" spans="1:4" ht="21" x14ac:dyDescent="0.35">
      <c r="A62" s="1">
        <v>0</v>
      </c>
      <c r="B62" s="1" t="s">
        <v>55</v>
      </c>
      <c r="C62" s="1">
        <v>7975000000</v>
      </c>
      <c r="D62" s="1" t="s">
        <v>73</v>
      </c>
    </row>
    <row r="63" spans="1:4" ht="21" x14ac:dyDescent="0.35">
      <c r="A63" s="1">
        <v>1</v>
      </c>
      <c r="B63" s="1" t="s">
        <v>62</v>
      </c>
      <c r="C63" s="1">
        <v>7975000000</v>
      </c>
      <c r="D63" s="1" t="s">
        <v>73</v>
      </c>
    </row>
    <row r="64" spans="1:4" ht="21" x14ac:dyDescent="0.35">
      <c r="B64" s="1"/>
    </row>
    <row r="65" spans="2:3" s="1" customFormat="1" ht="21" x14ac:dyDescent="0.35">
      <c r="B65" s="1" t="s">
        <v>69</v>
      </c>
      <c r="C65" s="1">
        <f xml:space="preserve"> C2 + C4 + C6 + C7 + C9 + C10 + C21</f>
        <v>270837000000</v>
      </c>
    </row>
    <row r="66" spans="2:3" s="1" customFormat="1" ht="21" x14ac:dyDescent="0.35">
      <c r="B66" s="1" t="s">
        <v>70</v>
      </c>
      <c r="C66" s="1">
        <f>C23+C24+C26+C27+C28+C29+C33+C34</f>
        <v>457804000000</v>
      </c>
    </row>
    <row r="67" spans="2:3" s="1" customFormat="1" ht="21" x14ac:dyDescent="0.35">
      <c r="B67" s="1" t="s">
        <v>71</v>
      </c>
      <c r="C67" s="1">
        <f>C35+C36+C37+C39+C42+C44+C45+C47+C49+C50+C55</f>
        <v>289436000000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Walmart_BS___bucketed_lines__la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Tian</dc:creator>
  <cp:lastModifiedBy>Ye Tian</cp:lastModifiedBy>
  <dcterms:created xsi:type="dcterms:W3CDTF">2025-11-17T17:18:42Z</dcterms:created>
  <dcterms:modified xsi:type="dcterms:W3CDTF">2025-11-18T03:04:31Z</dcterms:modified>
</cp:coreProperties>
</file>